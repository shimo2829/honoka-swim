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D1" sqref="D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6"/>
    <col width="22.796875" customWidth="1" style="1" min="7" max="7"/>
    <col width="14.8984375" customWidth="1" style="1" min="8" max="8"/>
    <col width="0.8984375" customWidth="1" style="1" min="9" max="9"/>
    <col width="27.09765625" customWidth="1" style="1" min="10" max="10"/>
    <col width="14.8984375" customWidth="1" style="5" min="11" max="11"/>
    <col width="14.8984375" customWidth="1" style="1" min="12" max="17"/>
    <col width="9.8984375" customWidth="1" style="1" min="18" max="18"/>
    <col width="14.8984375" customWidth="1" style="1" min="19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6" t="inlineStr">
        <is>
          <t>50m ベストタイム(短水路)</t>
        </is>
      </c>
      <c r="H1" s="6" t="inlineStr">
        <is>
          <t>50m 更新日</t>
        </is>
      </c>
      <c r="J1" s="6" t="inlineStr">
        <is>
          <t>50m ベストタイム(長水路)</t>
        </is>
      </c>
      <c r="K1" s="6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47.91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5" t="n"/>
      <c r="J2" s="1">
        <f>_xlfn.MINIFS(E:E, C:C, 50, D:D, "長水路")</f>
        <v/>
      </c>
      <c r="K2" s="5">
        <f>INDEX(A:A, MATCH(_xlfn.MINIFS(E:E, D:D, "長水路"), E:E, 0))</f>
        <v/>
      </c>
      <c r="Q2" s="1" t="inlineStr">
        <is>
          <t>長水路</t>
        </is>
      </c>
    </row>
    <row r="3">
      <c r="A3" s="5" t="n">
        <v>45816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47.54</v>
      </c>
      <c r="F3" s="1" t="inlineStr">
        <is>
          <t>鈴鹿</t>
        </is>
      </c>
      <c r="G3" s="4" t="n"/>
      <c r="Q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44.48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44.39</v>
      </c>
      <c r="F5" s="1" t="inlineStr">
        <is>
          <t>鈴鹿</t>
        </is>
      </c>
      <c r="Q5" s="1" t="inlineStr">
        <is>
          <t>菰野スイミング</t>
        </is>
      </c>
    </row>
    <row r="6">
      <c r="A6" s="5" t="n">
        <v>45942</v>
      </c>
      <c r="B6" s="1" t="inlineStr">
        <is>
          <t>小5</t>
        </is>
      </c>
      <c r="C6" s="1" t="n">
        <v>50</v>
      </c>
      <c r="D6" s="1" t="inlineStr">
        <is>
          <t>長水路</t>
        </is>
      </c>
      <c r="E6" s="1" t="n">
        <v>40.39</v>
      </c>
      <c r="F6" s="1" t="inlineStr">
        <is>
          <t>鈴鹿</t>
        </is>
      </c>
      <c r="Q6" s="1" t="inlineStr">
        <is>
          <t>鈴鹿</t>
        </is>
      </c>
    </row>
    <row r="7">
      <c r="A7" s="5" t="n">
        <v>45955</v>
      </c>
      <c r="B7" s="1" t="inlineStr">
        <is>
          <t>小5</t>
        </is>
      </c>
      <c r="C7" s="1" t="n">
        <v>50</v>
      </c>
      <c r="D7" s="1" t="inlineStr">
        <is>
          <t>短水路</t>
        </is>
      </c>
      <c r="E7" s="1" t="n">
        <v>40.5</v>
      </c>
      <c r="F7" s="1" t="inlineStr">
        <is>
          <t>鈴鹿</t>
        </is>
      </c>
    </row>
    <row r="8">
      <c r="A8" s="5" t="n">
        <v>46033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39.07</v>
      </c>
      <c r="F8" s="1" t="inlineStr">
        <is>
          <t>鈴鹿</t>
        </is>
      </c>
    </row>
    <row r="9">
      <c r="A9" s="5" t="n">
        <v>46053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38.24</v>
      </c>
      <c r="F9" s="1" t="inlineStr">
        <is>
          <t>鈴鹿</t>
        </is>
      </c>
    </row>
    <row r="10">
      <c r="A10" s="5" t="n">
        <v>46074</v>
      </c>
      <c r="B10" s="1" t="inlineStr">
        <is>
          <t>小5</t>
        </is>
      </c>
      <c r="C10" s="1" t="n">
        <v>50</v>
      </c>
      <c r="D10" s="1" t="inlineStr">
        <is>
          <t>長水路</t>
        </is>
      </c>
      <c r="E10" s="1" t="n">
        <v>37.73</v>
      </c>
      <c r="F10" s="1" t="inlineStr">
        <is>
          <t>鈴鹿</t>
        </is>
      </c>
    </row>
    <row r="11">
      <c r="A11" s="5" t="n">
        <v>46130</v>
      </c>
      <c r="B11" s="1" t="inlineStr">
        <is>
          <t>小6</t>
        </is>
      </c>
      <c r="C11" s="1" t="n">
        <v>50</v>
      </c>
      <c r="D11" s="1" t="inlineStr">
        <is>
          <t>短水路</t>
        </is>
      </c>
      <c r="E11" s="1" t="n">
        <v>40.28</v>
      </c>
      <c r="F11" s="1" t="inlineStr">
        <is>
          <t>鈴鹿</t>
        </is>
      </c>
    </row>
  </sheetData>
  <dataValidations count="4">
    <dataValidation sqref="D2:D180" showDropDown="0" showInputMessage="1" showErrorMessage="1" allowBlank="1" type="list">
      <formula1>$Q$2:$Q$3</formula1>
    </dataValidation>
    <dataValidation sqref="F2:F11" showDropDown="0" showInputMessage="1" showErrorMessage="1" allowBlank="1" type="list">
      <formula1>$Q$5:$Q$6</formula1>
    </dataValidation>
    <dataValidation sqref="L2:L132" showDropDown="0" showInputMessage="1" showErrorMessage="1" allowBlank="1" type="list">
      <formula1>$O$3:$O$3</formula1>
    </dataValidation>
    <dataValidation sqref="N2:N5" showDropDown="0" showInputMessage="1" showErrorMessage="1" allowBlank="1" type="list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46137</v>
      </c>
      <c r="B7" t="inlineStr">
        <is>
          <t>小6</t>
        </is>
      </c>
      <c r="C7" t="n">
        <v>200</v>
      </c>
      <c r="D7" t="inlineStr">
        <is>
          <t>短水路</t>
        </is>
      </c>
      <c r="E7" t="n">
        <v>171.01</v>
      </c>
      <c r="F7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2026-04-25T03:34:37Z</dcterms:modified>
  <cp:lastModifiedBy>敏也 下田</cp:lastModifiedBy>
</cp:coreProperties>
</file>