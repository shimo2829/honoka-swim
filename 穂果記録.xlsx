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304" yWindow="2304" windowWidth="13716" windowHeight="9960" tabRatio="600" firstSheet="0" activeTab="4" autoFilterDateGrouping="1"/>
  </bookViews>
  <sheets>
    <sheet name="バッタ" sheetId="1" state="visible" r:id="rId1"/>
    <sheet name="バック" sheetId="2" state="visible" r:id="rId2"/>
    <sheet name="ブレ" sheetId="3" state="visible" r:id="rId3"/>
    <sheet name="メドレー" sheetId="4" state="visible" r:id="rId4"/>
    <sheet name="フリー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yyyy&quot;年&quot;m&quot;月&quot;d&quot;日&quot;;@"/>
    <numFmt numFmtId="165" formatCode="0.00_ "/>
    <numFmt numFmtId="166" formatCode="yyyy/m/d;@"/>
    <numFmt numFmtId="167" formatCode="yyyy-mm-dd h:mm:ss"/>
  </numFmts>
  <fonts count="3">
    <font>
      <name val="Yu Gothic"/>
      <family val="2"/>
      <color theme="1"/>
      <sz val="11"/>
      <scheme val="minor"/>
    </font>
    <font>
      <name val="Yu Gothic"/>
      <charset val="128"/>
      <family val="3"/>
      <sz val="6"/>
      <scheme val="minor"/>
    </font>
    <font>
      <name val="Meiryo UI"/>
      <charset val="128"/>
      <family val="3"/>
      <color theme="1"/>
      <sz val="10"/>
    </font>
  </fonts>
  <fills count="3">
    <fill>
      <patternFill/>
    </fill>
    <fill>
      <patternFill patternType="gray125"/>
    </fill>
    <fill>
      <patternFill patternType="solid">
        <fgColor theme="4" tint="0.799981688894314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47" fontId="2" fillId="0" borderId="0" applyAlignment="1" pivotButton="0" quotePrefix="0" xfId="0">
      <alignment horizontal="center" vertical="center"/>
    </xf>
    <xf numFmtId="14" fontId="2" fillId="0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166" fontId="2" fillId="0" borderId="0" applyAlignment="1" pivotButton="0" quotePrefix="0" xfId="0">
      <alignment horizontal="center" vertical="center"/>
    </xf>
    <xf numFmtId="49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167" fontId="0" fillId="0" borderId="0" pivotButton="0" quotePrefix="0" xfId="0"/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"/>
  <sheetViews>
    <sheetView workbookViewId="0">
      <selection activeCell="C26" sqref="C26"/>
    </sheetView>
  </sheetViews>
  <sheetFormatPr baseColWidth="8" defaultColWidth="14.8984375" defaultRowHeight="14.4"/>
  <cols>
    <col width="15.796875" bestFit="1" customWidth="1" style="9" min="1" max="1"/>
    <col width="14.8984375" customWidth="1" style="1" min="2" max="15"/>
    <col width="9.8984375" customWidth="1" style="1" min="16" max="16"/>
    <col width="14.8984375" customWidth="1" style="1" min="17" max="16384"/>
  </cols>
  <sheetData>
    <row r="1">
      <c r="A1" s="1" t="inlineStr">
        <is>
          <t>日付</t>
        </is>
      </c>
      <c r="B1" s="1" t="inlineStr">
        <is>
          <t>学年</t>
        </is>
      </c>
      <c r="C1" s="1" t="inlineStr">
        <is>
          <t>距離</t>
        </is>
      </c>
      <c r="D1" s="1" t="inlineStr">
        <is>
          <t>長水路 or 短水路</t>
        </is>
      </c>
      <c r="E1" s="1" t="inlineStr">
        <is>
          <t>タイム</t>
        </is>
      </c>
      <c r="F1" s="1" t="inlineStr">
        <is>
          <t>会場</t>
        </is>
      </c>
      <c r="G1" s="1" t="inlineStr">
        <is>
          <t>50m ベストタイム(短水路)</t>
        </is>
      </c>
      <c r="H1" s="1" t="inlineStr">
        <is>
          <t>50m 更新日</t>
        </is>
      </c>
      <c r="I1" s="1" t="inlineStr">
        <is>
          <t>50m ベストタイム(長水路)</t>
        </is>
      </c>
      <c r="J1" s="1" t="inlineStr">
        <is>
          <t>50m 更新日</t>
        </is>
      </c>
    </row>
    <row r="2">
      <c r="A2" s="5" t="n">
        <v>45823</v>
      </c>
      <c r="B2" s="1" t="inlineStr">
        <is>
          <t>小5</t>
        </is>
      </c>
      <c r="C2" s="1" t="n">
        <v>50</v>
      </c>
      <c r="D2" s="1" t="inlineStr">
        <is>
          <t>短水路</t>
        </is>
      </c>
      <c r="E2" s="1" t="n">
        <v>54.97</v>
      </c>
      <c r="F2" s="1" t="inlineStr">
        <is>
          <t>鈴鹿</t>
        </is>
      </c>
      <c r="G2" s="1">
        <f>_xlfn.MINIFS(E:E, C:C, 50, D:D, "短水路")</f>
        <v/>
      </c>
      <c r="H2" s="5">
        <f>INDEX(A:A, MATCH(_xlfn.MINIFS(E:E, D:D, "短水路"), E:E, 0))</f>
        <v/>
      </c>
      <c r="I2" s="1">
        <f>_xlfn.MINIFS(E:E, C:C, 50, D:D, "長水路")</f>
        <v/>
      </c>
      <c r="J2" s="5">
        <f>INDEX(A:A, MATCH(_xlfn.MINIFS(E:E, D:D, "長水路"), E:E, 0))</f>
        <v/>
      </c>
      <c r="L2" s="1" t="inlineStr">
        <is>
          <t>長水路</t>
        </is>
      </c>
    </row>
    <row r="3">
      <c r="A3" s="5" t="n">
        <v>45956</v>
      </c>
      <c r="B3" s="1" t="inlineStr">
        <is>
          <t>小5</t>
        </is>
      </c>
      <c r="C3" s="1" t="n">
        <v>50</v>
      </c>
      <c r="D3" s="1" t="inlineStr">
        <is>
          <t>長水路</t>
        </is>
      </c>
      <c r="E3" s="1" t="n">
        <v>48.27</v>
      </c>
      <c r="F3" s="1" t="inlineStr">
        <is>
          <t>鈴鹿</t>
        </is>
      </c>
      <c r="G3" s="4" t="n"/>
      <c r="L3" s="1" t="inlineStr">
        <is>
          <t>短水路</t>
        </is>
      </c>
    </row>
    <row r="4">
      <c r="A4" s="5" t="n">
        <v>46033</v>
      </c>
      <c r="B4" s="1" t="inlineStr">
        <is>
          <t>小5</t>
        </is>
      </c>
      <c r="C4" s="1" t="n">
        <v>50</v>
      </c>
      <c r="D4" s="1" t="inlineStr">
        <is>
          <t>短水路</t>
        </is>
      </c>
      <c r="E4" s="1" t="n">
        <v>44.97</v>
      </c>
      <c r="F4" s="1" t="inlineStr">
        <is>
          <t>鈴鹿</t>
        </is>
      </c>
    </row>
    <row r="5">
      <c r="A5" s="5" t="n">
        <v>46075</v>
      </c>
      <c r="B5" s="1" t="inlineStr">
        <is>
          <t>小5</t>
        </is>
      </c>
      <c r="C5" s="1" t="n">
        <v>50</v>
      </c>
      <c r="D5" s="1" t="inlineStr">
        <is>
          <t>長水路</t>
        </is>
      </c>
      <c r="E5" s="1" t="n">
        <v>44.65</v>
      </c>
      <c r="F5" s="1" t="inlineStr">
        <is>
          <t>鈴鹿</t>
        </is>
      </c>
      <c r="L5" s="1" t="inlineStr">
        <is>
          <t>菰野スイミング</t>
        </is>
      </c>
    </row>
    <row r="6">
      <c r="A6" s="5" t="n">
        <v>46130</v>
      </c>
      <c r="B6" s="1" t="inlineStr">
        <is>
          <t>小6</t>
        </is>
      </c>
      <c r="C6" s="1" t="n">
        <v>50</v>
      </c>
      <c r="D6" s="1" t="inlineStr">
        <is>
          <t>短水路</t>
        </is>
      </c>
      <c r="E6" s="1" t="n">
        <v>47.17</v>
      </c>
      <c r="F6" s="1" t="inlineStr">
        <is>
          <t>菰野スイミング</t>
        </is>
      </c>
      <c r="L6" s="1" t="inlineStr">
        <is>
          <t>鈴鹿</t>
        </is>
      </c>
    </row>
  </sheetData>
  <dataValidations count="5">
    <dataValidation sqref="D7:D178" showDropDown="0" showInputMessage="1" showErrorMessage="1" allowBlank="1" type="list">
      <formula1>#REF!</formula1>
    </dataValidation>
    <dataValidation sqref="F7:F132" showDropDown="0" showInputMessage="1" showErrorMessage="1" allowBlank="1" type="list">
      <formula1>$O$3:$O$3</formula1>
    </dataValidation>
    <dataValidation sqref="K7:K132" showDropDown="0" showInputMessage="1" showErrorMessage="1" allowBlank="1" type="list">
      <formula1>$L$3:$L$3</formula1>
    </dataValidation>
    <dataValidation sqref="F2:F6" showDropDown="0" showInputMessage="1" showErrorMessage="1" allowBlank="1" type="list">
      <formula1>$L$5:$L$6</formula1>
    </dataValidation>
    <dataValidation sqref="D2:D6" showDropDown="0" showInputMessage="1" showErrorMessage="1" allowBlank="1" type="list">
      <formula1>$L$2:$L$3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9"/>
  <sheetViews>
    <sheetView workbookViewId="0">
      <selection activeCell="B11" sqref="B11"/>
    </sheetView>
  </sheetViews>
  <sheetFormatPr baseColWidth="8" defaultColWidth="14.8984375" defaultRowHeight="14.4"/>
  <cols>
    <col width="15.796875" bestFit="1" customWidth="1" style="9" min="1" max="1"/>
    <col width="14.8984375" customWidth="1" style="1" min="2" max="4"/>
    <col width="14.8984375" customWidth="1" style="10" min="5" max="5"/>
    <col width="14.8984375" customWidth="1" style="1" min="6" max="6"/>
    <col width="22.5" customWidth="1" style="1" min="7" max="7"/>
    <col width="18.5" customWidth="1" style="1" min="8" max="8"/>
    <col width="14.8984375" customWidth="1" style="1" min="9" max="16"/>
    <col width="9.8984375" customWidth="1" style="1" min="17" max="17"/>
    <col width="14.8984375" customWidth="1" style="1" min="18" max="16384"/>
  </cols>
  <sheetData>
    <row r="1">
      <c r="A1" s="1" t="inlineStr">
        <is>
          <t>日付</t>
        </is>
      </c>
      <c r="B1" s="1" t="inlineStr">
        <is>
          <t>学年</t>
        </is>
      </c>
      <c r="C1" s="1" t="inlineStr">
        <is>
          <t>距離</t>
        </is>
      </c>
      <c r="D1" s="1" t="inlineStr">
        <is>
          <t>長水路 or 短水路</t>
        </is>
      </c>
      <c r="E1" s="1" t="inlineStr">
        <is>
          <t>タイム</t>
        </is>
      </c>
      <c r="F1" s="1" t="inlineStr">
        <is>
          <t>会場</t>
        </is>
      </c>
      <c r="G1" s="1" t="inlineStr">
        <is>
          <t>50m ベストタイム(短水路)</t>
        </is>
      </c>
      <c r="H1" s="1" t="inlineStr">
        <is>
          <t>50m 更新日</t>
        </is>
      </c>
      <c r="I1" s="1" t="inlineStr">
        <is>
          <t>50m ベストタイム(長水路)</t>
        </is>
      </c>
      <c r="J1" s="1" t="inlineStr">
        <is>
          <t>50m 更新日</t>
        </is>
      </c>
    </row>
    <row r="2">
      <c r="A2" s="5" t="n">
        <v>45788</v>
      </c>
      <c r="B2" s="1" t="inlineStr">
        <is>
          <t>小5</t>
        </is>
      </c>
      <c r="C2" s="1" t="n">
        <v>50</v>
      </c>
      <c r="D2" s="1" t="inlineStr">
        <is>
          <t>短水路</t>
        </is>
      </c>
      <c r="E2" s="10" t="n">
        <v>54.97</v>
      </c>
      <c r="F2" s="1" t="inlineStr">
        <is>
          <t>鈴鹿</t>
        </is>
      </c>
      <c r="G2" s="1">
        <f>_xlfn.MINIFS(E:E, C:C, 50, D:D, "短水路")</f>
        <v/>
      </c>
      <c r="H2" s="5">
        <f>INDEX(A:A, MATCH(_xlfn.MINIFS(E:E, D:D, "短水路"), E:E, 0))</f>
        <v/>
      </c>
      <c r="I2" s="1">
        <f>_xlfn.MINIFS(E:E, C:C, 50, D:D, "長水路")</f>
        <v/>
      </c>
      <c r="J2" s="5">
        <f>INDEX(A:A, MATCH(_xlfn.MINIFS(E:E, D:D, "長水路"), E:E, 0))</f>
        <v/>
      </c>
      <c r="P2" s="1" t="inlineStr">
        <is>
          <t>長水路</t>
        </is>
      </c>
    </row>
    <row r="3">
      <c r="A3" s="5" t="n">
        <v>45815</v>
      </c>
      <c r="B3" s="1" t="inlineStr">
        <is>
          <t>小5</t>
        </is>
      </c>
      <c r="C3" s="1" t="n">
        <v>50</v>
      </c>
      <c r="D3" s="1" t="inlineStr">
        <is>
          <t>長水路</t>
        </is>
      </c>
      <c r="E3" s="10" t="n">
        <v>52.8</v>
      </c>
      <c r="F3" s="1" t="inlineStr">
        <is>
          <t>鈴鹿</t>
        </is>
      </c>
      <c r="G3" s="4" t="n"/>
      <c r="P3" s="1" t="inlineStr">
        <is>
          <t>短水路</t>
        </is>
      </c>
    </row>
    <row r="4">
      <c r="A4" s="5" t="n">
        <v>45823</v>
      </c>
      <c r="B4" s="1" t="inlineStr">
        <is>
          <t>小5</t>
        </is>
      </c>
      <c r="C4" s="1" t="n">
        <v>50</v>
      </c>
      <c r="D4" s="1" t="inlineStr">
        <is>
          <t>短水路</t>
        </is>
      </c>
      <c r="E4" s="10" t="n">
        <v>51.07</v>
      </c>
      <c r="F4" s="1" t="inlineStr">
        <is>
          <t>鈴鹿</t>
        </is>
      </c>
    </row>
    <row r="5">
      <c r="A5" s="5" t="n">
        <v>45844</v>
      </c>
      <c r="B5" s="1" t="inlineStr">
        <is>
          <t>小5</t>
        </is>
      </c>
      <c r="C5" s="1" t="n">
        <v>50</v>
      </c>
      <c r="D5" s="1" t="inlineStr">
        <is>
          <t>長水路</t>
        </is>
      </c>
      <c r="E5" s="10" t="n">
        <v>50.06</v>
      </c>
      <c r="F5" s="1" t="inlineStr">
        <is>
          <t>鈴鹿</t>
        </is>
      </c>
      <c r="P5" s="1" t="inlineStr">
        <is>
          <t>菰野スイミング</t>
        </is>
      </c>
    </row>
    <row r="6">
      <c r="A6" s="5" t="n">
        <v>45956</v>
      </c>
      <c r="B6" s="1" t="inlineStr">
        <is>
          <t>小5</t>
        </is>
      </c>
      <c r="C6" s="1" t="n">
        <v>50</v>
      </c>
      <c r="D6" s="1" t="inlineStr">
        <is>
          <t>短水路</t>
        </is>
      </c>
      <c r="E6" s="10" t="n">
        <v>46.12</v>
      </c>
      <c r="F6" s="1" t="inlineStr">
        <is>
          <t>鈴鹿</t>
        </is>
      </c>
      <c r="P6" s="1" t="inlineStr">
        <is>
          <t>鈴鹿</t>
        </is>
      </c>
    </row>
    <row r="7">
      <c r="A7" s="5" t="n">
        <v>45984</v>
      </c>
      <c r="B7" s="1" t="inlineStr">
        <is>
          <t>小5</t>
        </is>
      </c>
      <c r="C7" s="1" t="n">
        <v>50</v>
      </c>
      <c r="D7" s="1" t="inlineStr">
        <is>
          <t>長水路</t>
        </is>
      </c>
      <c r="E7" s="10" t="n">
        <v>45.67</v>
      </c>
      <c r="F7" s="1" t="inlineStr">
        <is>
          <t>鈴鹿</t>
        </is>
      </c>
    </row>
    <row r="8">
      <c r="A8" s="5" t="n">
        <v>46075</v>
      </c>
      <c r="B8" s="1" t="inlineStr">
        <is>
          <t>小5</t>
        </is>
      </c>
      <c r="C8" s="1" t="n">
        <v>50</v>
      </c>
      <c r="D8" s="1" t="inlineStr">
        <is>
          <t>長水路</t>
        </is>
      </c>
      <c r="E8" s="10" t="n">
        <v>44.84</v>
      </c>
      <c r="F8" s="1" t="inlineStr">
        <is>
          <t>鈴鹿</t>
        </is>
      </c>
    </row>
    <row r="9">
      <c r="A9" s="5" t="n">
        <v>46130</v>
      </c>
      <c r="B9" s="1" t="inlineStr">
        <is>
          <t>小6</t>
        </is>
      </c>
      <c r="C9" s="1" t="n">
        <v>50</v>
      </c>
      <c r="D9" s="1" t="inlineStr">
        <is>
          <t>短水路</t>
        </is>
      </c>
      <c r="E9" s="10" t="n">
        <v>45.97</v>
      </c>
      <c r="F9" s="1" t="inlineStr">
        <is>
          <t>菰野スイミング</t>
        </is>
      </c>
    </row>
  </sheetData>
  <dataValidations count="4">
    <dataValidation sqref="D2:D181" showDropDown="0" showInputMessage="1" showErrorMessage="1" allowBlank="1" type="list">
      <formula1>$P$2:$P$3</formula1>
    </dataValidation>
    <dataValidation sqref="F2:F181" showDropDown="0" showInputMessage="1" showErrorMessage="1" allowBlank="1" type="list">
      <formula1>$P$5:$P$6</formula1>
    </dataValidation>
    <dataValidation sqref="K2:K132" showDropDown="0" showInputMessage="1" showErrorMessage="1" allowBlank="1" type="list">
      <formula1>$N$3:$N$3</formula1>
    </dataValidation>
    <dataValidation sqref="M2:M181" showDropDown="0" showInputMessage="1" showErrorMessage="1" allowBlank="1" type="list">
      <formula1>$O$5:$O$6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selection activeCell="E8" sqref="E8"/>
    </sheetView>
  </sheetViews>
  <sheetFormatPr baseColWidth="8" defaultColWidth="14.8984375" defaultRowHeight="14.4"/>
  <cols>
    <col width="15.796875" bestFit="1" customWidth="1" style="9" min="1" max="1"/>
    <col width="14.8984375" customWidth="1" style="1" min="2" max="10"/>
    <col width="9.8984375" customWidth="1" style="1" min="11" max="11"/>
    <col width="14.8984375" customWidth="1" style="1" min="12" max="16384"/>
  </cols>
  <sheetData>
    <row r="1">
      <c r="A1" s="1" t="inlineStr">
        <is>
          <t>日付</t>
        </is>
      </c>
      <c r="B1" s="1" t="inlineStr">
        <is>
          <t>学年</t>
        </is>
      </c>
      <c r="C1" s="1" t="inlineStr">
        <is>
          <t>距離</t>
        </is>
      </c>
      <c r="D1" s="1" t="inlineStr">
        <is>
          <t>長水路 or 短水路</t>
        </is>
      </c>
      <c r="E1" s="1" t="inlineStr">
        <is>
          <t>タイム</t>
        </is>
      </c>
      <c r="F1" s="1" t="inlineStr">
        <is>
          <t>会場</t>
        </is>
      </c>
    </row>
    <row r="2">
      <c r="A2" s="5" t="n">
        <v>45788</v>
      </c>
      <c r="B2" s="1" t="inlineStr">
        <is>
          <t>小5</t>
        </is>
      </c>
      <c r="C2" s="1" t="n">
        <v>50</v>
      </c>
      <c r="D2" s="1" t="inlineStr">
        <is>
          <t>短水路</t>
        </is>
      </c>
      <c r="E2" s="1" t="n">
        <v>58.87</v>
      </c>
      <c r="F2" s="1" t="inlineStr">
        <is>
          <t>鈴鹿</t>
        </is>
      </c>
      <c r="J2" s="1" t="inlineStr">
        <is>
          <t>長水路</t>
        </is>
      </c>
    </row>
    <row r="3">
      <c r="A3" s="5" t="n">
        <v>45815</v>
      </c>
      <c r="B3" s="1" t="inlineStr">
        <is>
          <t>小5</t>
        </is>
      </c>
      <c r="C3" s="1" t="n">
        <v>50</v>
      </c>
      <c r="D3" s="1" t="inlineStr">
        <is>
          <t>長水路</t>
        </is>
      </c>
      <c r="E3" s="1" t="n">
        <v>55.01</v>
      </c>
      <c r="F3" s="1" t="inlineStr">
        <is>
          <t>鈴鹿</t>
        </is>
      </c>
      <c r="J3" s="1" t="inlineStr">
        <is>
          <t>短水路</t>
        </is>
      </c>
    </row>
    <row r="4">
      <c r="A4" s="5" t="n">
        <v>45844</v>
      </c>
      <c r="B4" s="1" t="inlineStr">
        <is>
          <t>小5</t>
        </is>
      </c>
      <c r="C4" s="1" t="n">
        <v>50</v>
      </c>
      <c r="D4" s="1" t="inlineStr">
        <is>
          <t>長水路</t>
        </is>
      </c>
      <c r="E4" s="1" t="n">
        <v>52.08</v>
      </c>
      <c r="F4" s="1" t="inlineStr">
        <is>
          <t>鈴鹿</t>
        </is>
      </c>
    </row>
    <row r="5">
      <c r="A5" s="5" t="n">
        <v>45942</v>
      </c>
      <c r="B5" s="1" t="inlineStr">
        <is>
          <t>小5</t>
        </is>
      </c>
      <c r="C5" s="1" t="n">
        <v>50</v>
      </c>
      <c r="D5" s="1" t="inlineStr">
        <is>
          <t>長水路</t>
        </is>
      </c>
      <c r="E5" s="1" t="n">
        <v>52.97</v>
      </c>
      <c r="F5" s="1" t="inlineStr">
        <is>
          <t>鈴鹿</t>
        </is>
      </c>
      <c r="J5" s="1" t="inlineStr">
        <is>
          <t>菰野スイミング</t>
        </is>
      </c>
    </row>
    <row r="6">
      <c r="A6" s="5" t="n">
        <v>45955</v>
      </c>
      <c r="B6" s="1" t="inlineStr">
        <is>
          <t>小5</t>
        </is>
      </c>
      <c r="C6" s="1" t="n">
        <v>50</v>
      </c>
      <c r="D6" s="1" t="inlineStr">
        <is>
          <t>短水路</t>
        </is>
      </c>
      <c r="E6" s="1" t="n">
        <v>49.74</v>
      </c>
      <c r="F6" s="1" t="inlineStr">
        <is>
          <t>鈴鹿</t>
        </is>
      </c>
      <c r="J6" s="1" t="inlineStr">
        <is>
          <t>鈴鹿</t>
        </is>
      </c>
    </row>
    <row r="7">
      <c r="A7" s="5" t="n">
        <v>45984</v>
      </c>
      <c r="B7" s="1" t="inlineStr">
        <is>
          <t>小5</t>
        </is>
      </c>
      <c r="C7" s="1" t="n">
        <v>50</v>
      </c>
      <c r="D7" s="1" t="inlineStr">
        <is>
          <t>長水路</t>
        </is>
      </c>
      <c r="E7" s="1" t="n">
        <v>49.06</v>
      </c>
      <c r="F7" s="1" t="inlineStr">
        <is>
          <t>鈴鹿</t>
        </is>
      </c>
    </row>
    <row r="8">
      <c r="A8" s="5" t="n">
        <v>45984</v>
      </c>
      <c r="B8" s="1" t="inlineStr">
        <is>
          <t>小5</t>
        </is>
      </c>
      <c r="C8" s="1" t="n">
        <v>100</v>
      </c>
      <c r="D8" s="1" t="inlineStr">
        <is>
          <t>長水路</t>
        </is>
      </c>
      <c r="E8" s="8" t="inlineStr">
        <is>
          <t>1'41"11</t>
        </is>
      </c>
      <c r="F8" s="1" t="inlineStr">
        <is>
          <t>鈴鹿</t>
        </is>
      </c>
    </row>
    <row r="9">
      <c r="A9" s="5" t="n">
        <v>46033</v>
      </c>
      <c r="B9" s="1" t="inlineStr">
        <is>
          <t>小5</t>
        </is>
      </c>
      <c r="C9" s="1" t="n">
        <v>50</v>
      </c>
      <c r="D9" s="1" t="inlineStr">
        <is>
          <t>短水路</t>
        </is>
      </c>
      <c r="E9" s="1" t="n">
        <v>47.55</v>
      </c>
      <c r="F9" s="1" t="inlineStr">
        <is>
          <t>鈴鹿</t>
        </is>
      </c>
    </row>
    <row r="10">
      <c r="A10" s="5" t="n">
        <v>46053</v>
      </c>
      <c r="B10" s="1" t="inlineStr">
        <is>
          <t>小5</t>
        </is>
      </c>
      <c r="C10" s="1" t="n">
        <v>50</v>
      </c>
      <c r="D10" s="1" t="inlineStr">
        <is>
          <t>短水路</t>
        </is>
      </c>
      <c r="E10" s="1" t="n">
        <v>46.9</v>
      </c>
      <c r="F10" s="1" t="inlineStr">
        <is>
          <t>鈴鹿</t>
        </is>
      </c>
    </row>
    <row r="11">
      <c r="A11" s="5" t="n">
        <v>46075</v>
      </c>
      <c r="B11" s="1" t="inlineStr">
        <is>
          <t>小5</t>
        </is>
      </c>
      <c r="C11" s="1" t="n">
        <v>50</v>
      </c>
      <c r="D11" s="1" t="inlineStr">
        <is>
          <t>長水路</t>
        </is>
      </c>
      <c r="E11" s="1" t="n">
        <v>47.42</v>
      </c>
      <c r="F11" s="1" t="inlineStr">
        <is>
          <t>鈴鹿</t>
        </is>
      </c>
    </row>
    <row r="12">
      <c r="A12" s="5" t="n">
        <v>46130</v>
      </c>
      <c r="B12" s="1" t="inlineStr">
        <is>
          <t>小6</t>
        </is>
      </c>
      <c r="C12" s="1" t="n">
        <v>50</v>
      </c>
      <c r="D12" s="1" t="inlineStr">
        <is>
          <t>短水路</t>
        </is>
      </c>
      <c r="E12" s="1" t="n">
        <v>47.95</v>
      </c>
      <c r="F12" s="1" t="inlineStr">
        <is>
          <t>菰野スイミング</t>
        </is>
      </c>
    </row>
  </sheetData>
  <dataValidations count="3">
    <dataValidation sqref="G2:G5" showDropDown="0" showInputMessage="1" showErrorMessage="1" allowBlank="1" type="list">
      <formula1>$I$5:$I$6</formula1>
    </dataValidation>
    <dataValidation sqref="F2:F12" showDropDown="0" showInputMessage="1" showErrorMessage="1" allowBlank="1" type="list">
      <formula1>$J$5:$J$6</formula1>
    </dataValidation>
    <dataValidation sqref="D2:D180" showDropDown="0" showInputMessage="1" showErrorMessage="1" allowBlank="1" type="list">
      <formula1>$J$2:$J$3</formula1>
    </dataValidation>
  </dataValidations>
  <pageMargins left="0.7" right="0.7" top="0.75" bottom="0.75" header="0.3" footer="0.3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sheetData>
    <row r="1">
      <c r="A1" t="inlineStr">
        <is>
          <t>日付</t>
        </is>
      </c>
      <c r="B1" t="inlineStr">
        <is>
          <t>学年</t>
        </is>
      </c>
      <c r="C1" t="inlineStr">
        <is>
          <t>距離</t>
        </is>
      </c>
      <c r="D1" t="inlineStr">
        <is>
          <t>長水路or短水路</t>
        </is>
      </c>
      <c r="E1" t="inlineStr">
        <is>
          <t>タイム</t>
        </is>
      </c>
      <c r="F1" t="inlineStr">
        <is>
          <t>会場</t>
        </is>
      </c>
    </row>
    <row r="2">
      <c r="A2" s="11" t="n">
        <v>45710</v>
      </c>
      <c r="B2" t="inlineStr">
        <is>
          <t>小4</t>
        </is>
      </c>
      <c r="C2" t="n">
        <v>200</v>
      </c>
      <c r="D2" t="inlineStr">
        <is>
          <t>短水路</t>
        </is>
      </c>
      <c r="E2" t="inlineStr">
        <is>
          <t>4'43"09</t>
        </is>
      </c>
      <c r="F2" t="inlineStr">
        <is>
          <t>菰野スイミング</t>
        </is>
      </c>
    </row>
    <row r="3">
      <c r="A3" s="11" t="n">
        <v>45808</v>
      </c>
      <c r="B3" t="inlineStr">
        <is>
          <t>小5</t>
        </is>
      </c>
      <c r="C3" t="n">
        <v>200</v>
      </c>
      <c r="D3" t="inlineStr">
        <is>
          <t>短水路</t>
        </is>
      </c>
      <c r="E3" t="inlineStr">
        <is>
          <t>4'02"71</t>
        </is>
      </c>
      <c r="F3" t="inlineStr">
        <is>
          <t>菰野スイミング</t>
        </is>
      </c>
    </row>
    <row r="4">
      <c r="A4" s="11" t="n">
        <v>45899</v>
      </c>
      <c r="B4" t="inlineStr">
        <is>
          <t>小5</t>
        </is>
      </c>
      <c r="C4" t="n">
        <v>200</v>
      </c>
      <c r="D4" t="inlineStr">
        <is>
          <t>短水路</t>
        </is>
      </c>
      <c r="E4" t="inlineStr">
        <is>
          <t>3'37"53</t>
        </is>
      </c>
      <c r="F4" t="inlineStr">
        <is>
          <t>菰野スイミング</t>
        </is>
      </c>
    </row>
    <row r="5">
      <c r="A5" s="11" t="n">
        <v>45991</v>
      </c>
      <c r="B5" t="inlineStr">
        <is>
          <t>小5</t>
        </is>
      </c>
      <c r="C5" t="n">
        <v>200</v>
      </c>
      <c r="D5" t="inlineStr">
        <is>
          <t>短水路</t>
        </is>
      </c>
      <c r="E5" t="inlineStr">
        <is>
          <t>3'21"34</t>
        </is>
      </c>
      <c r="F5" t="inlineStr">
        <is>
          <t>菰野スイミング</t>
        </is>
      </c>
    </row>
    <row r="6">
      <c r="A6" s="11" t="n">
        <v>46081</v>
      </c>
      <c r="B6" t="inlineStr">
        <is>
          <t>小5</t>
        </is>
      </c>
      <c r="C6" t="n">
        <v>200</v>
      </c>
      <c r="D6" t="inlineStr">
        <is>
          <t>短水路</t>
        </is>
      </c>
      <c r="E6" t="inlineStr">
        <is>
          <t>3'14"47</t>
        </is>
      </c>
      <c r="F6" t="inlineStr">
        <is>
          <t>菰野スイミング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日付</t>
        </is>
      </c>
      <c r="B1" t="inlineStr">
        <is>
          <t>学年</t>
        </is>
      </c>
      <c r="C1" t="inlineStr">
        <is>
          <t>距離</t>
        </is>
      </c>
      <c r="D1" t="inlineStr">
        <is>
          <t>長水路or短水路</t>
        </is>
      </c>
      <c r="E1" t="inlineStr">
        <is>
          <t>タイム</t>
        </is>
      </c>
      <c r="F1" t="inlineStr">
        <is>
          <t>会場</t>
        </is>
      </c>
    </row>
    <row r="2">
      <c r="A2" s="11" t="n">
        <v>45788</v>
      </c>
      <c r="B2" t="inlineStr">
        <is>
          <t>小5</t>
        </is>
      </c>
      <c r="C2" t="n">
        <v>50</v>
      </c>
      <c r="D2" t="inlineStr">
        <is>
          <t>短水路</t>
        </is>
      </c>
      <c r="E2" t="n">
        <v>47.91</v>
      </c>
      <c r="F2" t="inlineStr">
        <is>
          <t>鈴鹿</t>
        </is>
      </c>
    </row>
    <row r="3">
      <c r="A3" s="11" t="n">
        <v>45816</v>
      </c>
      <c r="B3" t="inlineStr">
        <is>
          <t>小5</t>
        </is>
      </c>
      <c r="C3" t="n">
        <v>50</v>
      </c>
      <c r="D3" t="inlineStr">
        <is>
          <t>長水路</t>
        </is>
      </c>
      <c r="E3" t="n">
        <v>47.54</v>
      </c>
      <c r="F3" t="inlineStr">
        <is>
          <t>鈴鹿</t>
        </is>
      </c>
    </row>
    <row r="4">
      <c r="A4" s="11" t="n">
        <v>45823</v>
      </c>
      <c r="B4" t="inlineStr">
        <is>
          <t>小5</t>
        </is>
      </c>
      <c r="C4" t="n">
        <v>50</v>
      </c>
      <c r="D4" t="inlineStr">
        <is>
          <t>短水路</t>
        </is>
      </c>
      <c r="E4" t="n">
        <v>44.48</v>
      </c>
      <c r="F4" t="inlineStr">
        <is>
          <t>鈴鹿</t>
        </is>
      </c>
    </row>
    <row r="5">
      <c r="A5" s="11" t="n">
        <v>45844</v>
      </c>
      <c r="B5" t="inlineStr">
        <is>
          <t>小5</t>
        </is>
      </c>
      <c r="C5" t="n">
        <v>50</v>
      </c>
      <c r="D5" t="inlineStr">
        <is>
          <t>長水路</t>
        </is>
      </c>
      <c r="E5" t="n">
        <v>44.39</v>
      </c>
      <c r="F5" t="inlineStr">
        <is>
          <t>鈴鹿</t>
        </is>
      </c>
    </row>
    <row r="6">
      <c r="A6" s="11" t="n">
        <v>45942</v>
      </c>
      <c r="B6" t="inlineStr">
        <is>
          <t>小5</t>
        </is>
      </c>
      <c r="C6" t="n">
        <v>50</v>
      </c>
      <c r="D6" t="inlineStr">
        <is>
          <t>長水路</t>
        </is>
      </c>
      <c r="E6" t="n">
        <v>40.39</v>
      </c>
      <c r="F6" t="inlineStr">
        <is>
          <t>鈴鹿</t>
        </is>
      </c>
    </row>
    <row r="7">
      <c r="A7" s="11" t="n">
        <v>45955</v>
      </c>
      <c r="B7" t="inlineStr">
        <is>
          <t>小5</t>
        </is>
      </c>
      <c r="C7" t="n">
        <v>50</v>
      </c>
      <c r="D7" t="inlineStr">
        <is>
          <t>短水路</t>
        </is>
      </c>
      <c r="E7" t="n">
        <v>40.5</v>
      </c>
      <c r="F7" t="inlineStr">
        <is>
          <t>鈴鹿</t>
        </is>
      </c>
    </row>
    <row r="8">
      <c r="A8" s="11" t="n">
        <v>46033</v>
      </c>
      <c r="B8" t="inlineStr">
        <is>
          <t>小5</t>
        </is>
      </c>
      <c r="C8" t="n">
        <v>50</v>
      </c>
      <c r="D8" t="inlineStr">
        <is>
          <t>短水路</t>
        </is>
      </c>
      <c r="E8" t="n">
        <v>39.07</v>
      </c>
      <c r="F8" t="inlineStr">
        <is>
          <t>鈴鹿</t>
        </is>
      </c>
    </row>
    <row r="9">
      <c r="A9" s="11" t="n">
        <v>46053</v>
      </c>
      <c r="B9" t="inlineStr">
        <is>
          <t>小5</t>
        </is>
      </c>
      <c r="C9" t="n">
        <v>50</v>
      </c>
      <c r="D9" t="inlineStr">
        <is>
          <t>短水路</t>
        </is>
      </c>
      <c r="E9" t="n">
        <v>38.24</v>
      </c>
      <c r="F9" t="inlineStr">
        <is>
          <t>鈴鹿</t>
        </is>
      </c>
    </row>
    <row r="10">
      <c r="A10" s="11" t="n">
        <v>46074</v>
      </c>
      <c r="B10" t="inlineStr">
        <is>
          <t>小5</t>
        </is>
      </c>
      <c r="C10" t="n">
        <v>50</v>
      </c>
      <c r="D10" t="inlineStr">
        <is>
          <t>長水路</t>
        </is>
      </c>
      <c r="E10" t="n">
        <v>37.73</v>
      </c>
      <c r="F10" t="inlineStr">
        <is>
          <t>鈴鹿</t>
        </is>
      </c>
    </row>
    <row r="11">
      <c r="A11" s="11" t="n">
        <v>46130</v>
      </c>
      <c r="B11" t="inlineStr">
        <is>
          <t>小6</t>
        </is>
      </c>
      <c r="C11" t="n">
        <v>50</v>
      </c>
      <c r="D11" t="inlineStr">
        <is>
          <t>短水路</t>
        </is>
      </c>
      <c r="E11" t="n">
        <v>40.28</v>
      </c>
      <c r="F11" t="inlineStr">
        <is>
          <t>鈴鹿</t>
        </is>
      </c>
    </row>
    <row r="12">
      <c r="A12" s="11" t="n">
        <v>46137</v>
      </c>
      <c r="B12" t="inlineStr">
        <is>
          <t>小6</t>
        </is>
      </c>
      <c r="C12" t="n">
        <v>50</v>
      </c>
      <c r="D12" t="inlineStr">
        <is>
          <t>短水路</t>
        </is>
      </c>
      <c r="E12" t="n">
        <v>31.01</v>
      </c>
      <c r="F12" t="inlineStr">
        <is>
          <t>菰野スイミング</t>
        </is>
      </c>
    </row>
    <row r="13">
      <c r="A13" s="11" t="n">
        <v>46137</v>
      </c>
      <c r="B13" t="inlineStr">
        <is>
          <t>中2</t>
        </is>
      </c>
      <c r="C13" t="n">
        <v>50</v>
      </c>
      <c r="D13" t="inlineStr">
        <is>
          <t>長水路</t>
        </is>
      </c>
      <c r="E13" t="n">
        <v>65.08</v>
      </c>
      <c r="F13" t="inlineStr">
        <is>
          <t>菰野スイミング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shimo</dc:creator>
  <dcterms:created xsi:type="dcterms:W3CDTF">2015-06-05T18:19:34Z</dcterms:created>
  <dcterms:modified xsi:type="dcterms:W3CDTF">2026-04-25T03:45:28Z</dcterms:modified>
  <cp:lastModifiedBy>敏也 下田</cp:lastModifiedBy>
</cp:coreProperties>
</file>