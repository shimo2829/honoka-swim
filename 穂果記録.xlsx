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"/>
    </mc:Choice>
  </mc:AlternateContent>
  <xr:revisionPtr revIDLastSave="65" documentId="13_ncr:1_{10E40B7B-DF6A-48E8-839B-5B2C8E703596}" xr6:coauthVersionLast="47" xr6:coauthVersionMax="47" xr10:uidLastSave="{063637B2-971B-4B69-BCFA-63CF47656677}"/>
  <bookViews>
    <workbookView xWindow="-108" yWindow="-108" windowWidth="23256" windowHeight="13896" activeTab="1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  <sheet name="メドレー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E3" i="5"/>
  <c r="E4" i="5"/>
  <c r="E5" i="5"/>
  <c r="E6" i="5"/>
  <c r="O2" i="5"/>
  <c r="O3" i="5" s="1"/>
  <c r="I2" i="5"/>
  <c r="I3" i="5" s="1"/>
  <c r="E2" i="6"/>
  <c r="M6" i="6"/>
  <c r="O6" i="6" s="1"/>
  <c r="M5" i="6"/>
  <c r="O5" i="6" s="1"/>
  <c r="O4" i="6"/>
  <c r="M4" i="6"/>
  <c r="N4" i="6" s="1"/>
  <c r="J4" i="6" s="1"/>
  <c r="E4" i="6" s="1"/>
  <c r="M3" i="6"/>
  <c r="O3" i="6" s="1"/>
  <c r="K3" i="6"/>
  <c r="O2" i="6"/>
  <c r="M2" i="6"/>
  <c r="N2" i="6" s="1"/>
  <c r="J2" i="6" s="1"/>
  <c r="L2" i="6"/>
  <c r="K2" i="6"/>
  <c r="K4" i="6" s="1"/>
  <c r="K6" i="5"/>
  <c r="L6" i="5" s="1"/>
  <c r="K3" i="5"/>
  <c r="L3" i="5" s="1"/>
  <c r="K4" i="5"/>
  <c r="L4" i="5" s="1"/>
  <c r="K5" i="5"/>
  <c r="L5" i="5" s="1"/>
  <c r="K2" i="5"/>
  <c r="L2" i="5" s="1"/>
  <c r="J2" i="5"/>
  <c r="O4" i="5" l="1"/>
  <c r="O5" i="5" s="1"/>
  <c r="K5" i="6"/>
  <c r="N3" i="6"/>
  <c r="J3" i="6" s="1"/>
  <c r="E3" i="6" s="1"/>
  <c r="N5" i="6"/>
  <c r="J5" i="6" s="1"/>
  <c r="E5" i="6" s="1"/>
  <c r="N6" i="6"/>
  <c r="J6" i="6" s="1"/>
  <c r="E6" i="6" s="1"/>
  <c r="M6" i="5"/>
  <c r="H6" i="5" s="1"/>
  <c r="M5" i="5"/>
  <c r="H5" i="5" s="1"/>
  <c r="M4" i="5"/>
  <c r="H4" i="5" s="1"/>
  <c r="M3" i="5"/>
  <c r="H3" i="5" s="1"/>
  <c r="I4" i="5"/>
  <c r="I5" i="5" s="1"/>
  <c r="L2" i="3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  <c r="M2" i="5" l="1"/>
  <c r="H2" i="5" s="1"/>
</calcChain>
</file>

<file path=xl/sharedStrings.xml><?xml version="1.0" encoding="utf-8"?>
<sst xmlns="http://schemas.openxmlformats.org/spreadsheetml/2006/main" count="220" uniqueCount="24">
  <si>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</si>
  <si>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</si>
  <si>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</si>
  <si>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</si>
  <si>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</si>
  <si>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</si>
  <si>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</si>
  <si>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</si>
  <si>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</si>
  <si>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</si>
  <si>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距離 (m)</t>
    <rPh sb="0" eb="2">
      <t>キョリ</t>
    </rPh>
    <phoneticPr fontId="1"/>
  </si>
  <si>
    <t>タイム (秒)</t>
    <rPh sb="5" eb="6">
      <t>ビョウ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</si>
  <si>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</si>
  <si>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</si>
  <si>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</si>
  <si>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</si>
  <si>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</si>
  <si>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</si>
  <si>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</si>
  <si>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</si>
  <si>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200m ベストタイム(短水路)</t>
    <rPh sb="12" eb="15">
      <t>タンスイロ</t>
    </rPh>
    <phoneticPr fontId="1"/>
  </si>
  <si>
    <t>200m 更新日</t>
    <rPh sb="5" eb="8">
      <t>コウシンビ</t>
    </rPh>
    <phoneticPr fontId="1"/>
  </si>
  <si>
    <t>4'39"09</t>
    <phoneticPr fontId="1"/>
  </si>
  <si>
    <t>小6</t>
    <rPh sb="0" eb="1">
      <t>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</si>
</sst>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0.00_);[Red]\(0.00\)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E7" sqref="E7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14</v>
      </c>
      <c r="H1" s="1" t="s">
        <v>13</v>
      </c>
      <c r="I1" s="1" t="s">
        <v>15</v>
      </c>
      <c r="J1" s="1" t="s">
        <v>13</v>
      </c>
    </row>
    <row r="2" spans="1:12">
      <c r="A2" s="2">
        <v>45823</v>
      </c>
      <c r="B2" s="1" t="s">
        <v>17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2">
        <v>45956</v>
      </c>
      <c r="B3" s="1" t="s">
        <v>17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2">
        <v>46033</v>
      </c>
      <c r="B4" s="1" t="s">
        <v>17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2">
        <v>46075</v>
      </c>
      <c r="B5" s="1" t="s">
        <v>17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2">
        <v>46130</v>
      </c>
      <c r="B6" s="1" t="s">
        <v>23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tabSelected="1" workbookViewId="0">
      <selection activeCell="H4" sqref="H4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0</v>
      </c>
      <c r="B1" s="1" t="s">
        <v>3</v>
      </c>
      <c r="C1" s="1" t="s">
        <v>10</v>
      </c>
      <c r="D1" s="1" t="s">
        <v>2</v>
      </c>
      <c r="E1" s="1" t="s">
        <v>11</v>
      </c>
      <c r="F1" s="1" t="s">
        <v>7</v>
      </c>
      <c r="G1" s="1" t="s">
        <v>14</v>
      </c>
      <c r="H1" s="1" t="s">
        <v>13</v>
      </c>
      <c r="I1" s="1" t="s">
        <v>15</v>
      </c>
      <c r="J1" s="1" t="s">
        <v>13</v>
      </c>
    </row>
    <row r="2" spans="1:16">
      <c r="A2" s="2">
        <v>45788</v>
      </c>
      <c r="B2" s="1" t="s">
        <v>17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2">
        <v>45815</v>
      </c>
      <c r="B3" s="1" t="s">
        <v>17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2">
        <v>45823</v>
      </c>
      <c r="B4" s="1" t="s">
        <v>17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2">
        <v>45844</v>
      </c>
      <c r="B5" s="1" t="s">
        <v>17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2">
        <v>45956</v>
      </c>
      <c r="B6" s="1" t="s">
        <v>17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2">
        <v>45984</v>
      </c>
      <c r="B7" s="1" t="s">
        <v>17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2">
        <v>46075</v>
      </c>
      <c r="B8" s="1" t="s">
        <v>17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2">
        <v>46130</v>
      </c>
      <c r="B9" s="1" t="s">
        <v>23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2"/>
  <sheetViews>
    <sheetView workbookViewId="0">
      <selection activeCell="E13" sqref="E13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12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14</v>
      </c>
      <c r="H1" s="1" t="s">
        <v>13</v>
      </c>
      <c r="I1" s="1" t="s">
        <v>15</v>
      </c>
      <c r="J1" s="1" t="s">
        <v>13</v>
      </c>
      <c r="K1" s="1" t="s">
        <v>19</v>
      </c>
      <c r="L1" s="1" t="s">
        <v>18</v>
      </c>
      <c r="M1" s="1" t="s">
        <v>15</v>
      </c>
      <c r="N1" s="1" t="s">
        <v>18</v>
      </c>
    </row>
    <row r="2" spans="1:18">
      <c r="A2" s="2">
        <v>45788</v>
      </c>
      <c r="B2" s="1" t="s">
        <v>17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46075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101.11</v>
      </c>
      <c r="N2" s="5">
        <f>INDEX(A:A, MATCH(_xlfn.MINIFS(E:E, D:D, "長水路"), E:E, 0))</f>
        <v>46075</v>
      </c>
      <c r="R2" s="1" t="s">
        <v>5</v>
      </c>
    </row>
    <row r="3" spans="1:18">
      <c r="A3" s="2">
        <v>45815</v>
      </c>
      <c r="B3" s="1" t="s">
        <v>17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2">
        <v>45844</v>
      </c>
      <c r="B4" s="1" t="s">
        <v>17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2">
        <v>45942</v>
      </c>
      <c r="B5" s="1" t="s">
        <v>17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2">
        <v>45955</v>
      </c>
      <c r="B6" s="1" t="s">
        <v>17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2">
        <v>45984</v>
      </c>
      <c r="B7" s="1" t="s">
        <v>17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2">
        <v>45984</v>
      </c>
      <c r="B8" s="1" t="s">
        <v>17</v>
      </c>
      <c r="C8" s="1">
        <v>100</v>
      </c>
      <c r="D8" s="1" t="s">
        <v>5</v>
      </c>
      <c r="E8" s="1">
        <v>101.11</v>
      </c>
      <c r="F8" s="1" t="s">
        <v>9</v>
      </c>
    </row>
    <row r="9" spans="1:18">
      <c r="A9" s="2">
        <v>46033</v>
      </c>
      <c r="B9" s="1" t="s">
        <v>17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2">
        <v>46053</v>
      </c>
      <c r="B10" s="1" t="s">
        <v>17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2">
        <v>46075</v>
      </c>
      <c r="B11" s="1" t="s">
        <v>17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2">
        <v>46130</v>
      </c>
      <c r="B12" s="1" t="s">
        <v>23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activeCell="E14" sqref="E14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12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0" t="s">
        <v>14</v>
      </c>
      <c r="H1" s="10" t="s">
        <v>13</v>
      </c>
      <c r="J1" s="10" t="s">
        <v>15</v>
      </c>
      <c r="K1" s="10" t="s">
        <v>13</v>
      </c>
    </row>
    <row r="2" spans="1:17">
      <c r="A2" s="2">
        <v>45788</v>
      </c>
      <c r="B2" s="1" t="s">
        <v>17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2">
        <v>45816</v>
      </c>
      <c r="B3" s="1" t="s">
        <v>17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2">
        <v>45823</v>
      </c>
      <c r="B4" s="1" t="s">
        <v>17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2">
        <v>45844</v>
      </c>
      <c r="B5" s="1" t="s">
        <v>17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2">
        <v>45942</v>
      </c>
      <c r="B6" s="1" t="s">
        <v>17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2">
        <v>45955</v>
      </c>
      <c r="B7" s="1" t="s">
        <v>17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2">
        <v>46033</v>
      </c>
      <c r="B8" s="1" t="s">
        <v>17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2">
        <v>46053</v>
      </c>
      <c r="B9" s="1" t="s">
        <v>17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2">
        <v>46074</v>
      </c>
      <c r="B10" s="1" t="s">
        <v>17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2">
        <v>46130</v>
      </c>
      <c r="B11" s="1" t="s">
        <v>23</v>
      </c>
      <c r="C11" s="1">
        <v>50</v>
      </c>
      <c r="D11" s="1" t="s">
        <v>5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O8"/>
  <sheetViews>
    <sheetView topLeftCell="E1" workbookViewId="0">
      <selection activeCell="E2" sqref="E2"/>
    </sheetView>
  </sheetViews>
  <sheetFormatPr defaultColWidth="14.8984375" defaultRowHeight="14.4"/>
  <cols>
    <col min="1" max="1" width="15.796875" style="2" bestFit="1" customWidth="1"/>
    <col min="2" max="5" width="14.8984375" style="1"/>
    <col min="6" max="6" width="14.8984375" style="6"/>
    <col min="7" max="8" width="14.8984375" style="1"/>
    <col min="9" max="9" width="23" style="1" customWidth="1"/>
    <col min="10" max="10" width="14.8984375" style="5"/>
    <col min="11" max="11" width="21.8984375" style="1" customWidth="1"/>
    <col min="12" max="14" width="14.8984375" style="1"/>
    <col min="15" max="15" width="23" style="1" customWidth="1"/>
    <col min="16" max="16384" width="14.8984375" style="1"/>
  </cols>
  <sheetData>
    <row r="1" spans="1:15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G1" s="1" t="s">
        <v>7</v>
      </c>
      <c r="I1" s="7" t="s">
        <v>20</v>
      </c>
      <c r="J1" s="7" t="s">
        <v>21</v>
      </c>
      <c r="K1" s="7" t="s">
        <v>14</v>
      </c>
      <c r="O1" s="7" t="s">
        <v>20</v>
      </c>
    </row>
    <row r="2" spans="1:15">
      <c r="A2" s="2">
        <v>45710</v>
      </c>
      <c r="B2" s="1" t="s">
        <v>16</v>
      </c>
      <c r="C2" s="1">
        <v>200</v>
      </c>
      <c r="D2" s="1" t="s">
        <v>6</v>
      </c>
      <c r="E2" s="4" t="s">
        <v>22</v>
      </c>
      <c r="F2" s="1">
        <v>283.08999999999997</v>
      </c>
      <c r="G2" s="1" t="s">
        <v>8</v>
      </c>
      <c r="H2" s="4">
        <f>TIME(0, L2, M2)</f>
        <v>3.2754629629629631E-3</v>
      </c>
      <c r="I2" s="8">
        <f>_xlfn.MINIFS(F:F, C:C, 200, D:D, "短水路")</f>
        <v>194.47</v>
      </c>
      <c r="J2" s="9">
        <f>INDEX(A:A, MATCH(_xlfn.MINIFS(F:F, D:D, "短水路"), F:F, 0))</f>
        <v>46081</v>
      </c>
      <c r="K2" s="8">
        <f>_xlfn.MINIFS(F2:F2, C2:C2, 200, D2:D2, "短水路")</f>
        <v>283.08999999999997</v>
      </c>
      <c r="L2" s="8">
        <f>INT(K2/60)</f>
        <v>4</v>
      </c>
      <c r="M2" s="8">
        <f>MOD(K2,60)</f>
        <v>43.089999999999975</v>
      </c>
      <c r="N2" s="1" t="s">
        <v>5</v>
      </c>
      <c r="O2" s="8">
        <f>_xlfn.MINIFS(F:F, D:D, 200, E:E, "短水路")</f>
        <v>0</v>
      </c>
    </row>
    <row r="3" spans="1:15">
      <c r="A3" s="2">
        <v>45808</v>
      </c>
      <c r="B3" s="1" t="s">
        <v>17</v>
      </c>
      <c r="C3" s="1">
        <v>200</v>
      </c>
      <c r="D3" s="1" t="s">
        <v>6</v>
      </c>
      <c r="E3" s="4">
        <f>H3</f>
        <v>2.8009259259259259E-3</v>
      </c>
      <c r="F3" s="1">
        <v>242.71</v>
      </c>
      <c r="G3" s="1" t="s">
        <v>8</v>
      </c>
      <c r="H3" s="4">
        <f>TIME(0, L3, M3)</f>
        <v>2.8009259259259259E-3</v>
      </c>
      <c r="I3" s="8">
        <f>INT(I2/60)</f>
        <v>3</v>
      </c>
      <c r="J3" s="9"/>
      <c r="K3" s="8">
        <f>_xlfn.MINIFS(F3:F3, C3:C3, 200, D3:D3, "短水路")</f>
        <v>242.71</v>
      </c>
      <c r="L3" s="8">
        <f t="shared" ref="L3:L6" si="0">INT(K3/60)</f>
        <v>4</v>
      </c>
      <c r="M3" s="8">
        <f t="shared" ref="M3:M5" si="1">MOD(K3,60)</f>
        <v>2.710000000000008</v>
      </c>
      <c r="N3" s="1" t="s">
        <v>6</v>
      </c>
      <c r="O3" s="8">
        <f>INT(O2/60)</f>
        <v>0</v>
      </c>
    </row>
    <row r="4" spans="1:15">
      <c r="A4" s="2">
        <v>45899</v>
      </c>
      <c r="B4" s="1" t="s">
        <v>17</v>
      </c>
      <c r="C4" s="1">
        <v>200</v>
      </c>
      <c r="D4" s="1" t="s">
        <v>6</v>
      </c>
      <c r="E4" s="4">
        <f>H4</f>
        <v>2.5115740740740741E-3</v>
      </c>
      <c r="F4" s="1">
        <v>217.53</v>
      </c>
      <c r="G4" s="1" t="s">
        <v>8</v>
      </c>
      <c r="H4" s="4">
        <f>TIME(0, L4, M4)</f>
        <v>2.5115740740740741E-3</v>
      </c>
      <c r="I4" s="8">
        <f>MOD(I2,60)</f>
        <v>14.469999999999999</v>
      </c>
      <c r="J4" s="9"/>
      <c r="K4" s="8">
        <f>_xlfn.MINIFS(F4:F4, C4:C4, 200, D4:D4, "短水路")</f>
        <v>217.53</v>
      </c>
      <c r="L4" s="8">
        <f t="shared" si="0"/>
        <v>3</v>
      </c>
      <c r="M4" s="8">
        <f t="shared" si="1"/>
        <v>37.53</v>
      </c>
      <c r="O4" s="8">
        <f>MOD(O2,60)</f>
        <v>0</v>
      </c>
    </row>
    <row r="5" spans="1:15">
      <c r="A5" s="2">
        <v>45991</v>
      </c>
      <c r="B5" s="1" t="s">
        <v>17</v>
      </c>
      <c r="C5" s="1">
        <v>200</v>
      </c>
      <c r="D5" s="1" t="s">
        <v>6</v>
      </c>
      <c r="E5" s="4">
        <f>H5</f>
        <v>2.3263888888888887E-3</v>
      </c>
      <c r="F5" s="1">
        <v>201.34</v>
      </c>
      <c r="G5" s="1" t="s">
        <v>8</v>
      </c>
      <c r="H5" s="4">
        <f>TIME(0, L5, M5)</f>
        <v>2.3263888888888887E-3</v>
      </c>
      <c r="I5" s="4">
        <f>TIME(0, I3, I4)</f>
        <v>2.2453703703703702E-3</v>
      </c>
      <c r="K5" s="8">
        <f>_xlfn.MINIFS(F5:F5, C5:C5, 200, D5:D5, "短水路")</f>
        <v>201.34</v>
      </c>
      <c r="L5" s="8">
        <f t="shared" si="0"/>
        <v>3</v>
      </c>
      <c r="M5" s="8">
        <f t="shared" si="1"/>
        <v>21.340000000000003</v>
      </c>
      <c r="N5" s="1" t="s">
        <v>8</v>
      </c>
      <c r="O5" s="4">
        <f>TIME(0, O3, O4)</f>
        <v>0</v>
      </c>
    </row>
    <row r="6" spans="1:15">
      <c r="A6" s="2">
        <v>46081</v>
      </c>
      <c r="B6" s="1" t="s">
        <v>17</v>
      </c>
      <c r="C6" s="1">
        <v>200</v>
      </c>
      <c r="D6" s="1" t="s">
        <v>6</v>
      </c>
      <c r="E6" s="4">
        <f>H6</f>
        <v>2.2453703703703702E-3</v>
      </c>
      <c r="F6" s="1">
        <v>194.47</v>
      </c>
      <c r="G6" s="1" t="s">
        <v>8</v>
      </c>
      <c r="H6" s="4">
        <f>TIME(0, L6, M6)</f>
        <v>2.2453703703703702E-3</v>
      </c>
      <c r="K6" s="8">
        <f>_xlfn.MINIFS(F6:F6, C6:C6, 200, D6:D6, "短水路")</f>
        <v>194.47</v>
      </c>
      <c r="L6" s="8">
        <f t="shared" si="0"/>
        <v>3</v>
      </c>
      <c r="M6" s="8">
        <f t="shared" ref="M6" si="2">MOD(K6,60)</f>
        <v>14.469999999999999</v>
      </c>
      <c r="N6" s="1" t="s">
        <v>9</v>
      </c>
    </row>
    <row r="8" spans="1:15">
      <c r="I8" s="4"/>
      <c r="K8" s="4"/>
      <c r="O8" s="4"/>
    </row>
  </sheetData>
  <phoneticPr fontId="1"/>
  <dataValidations count="2">
    <dataValidation type="list" allowBlank="1" showInputMessage="1" showErrorMessage="1" sqref="D2:D181 E7:E181" xr:uid="{FCD6C6B0-9EE2-40C6-BADA-61DB1F834B29}">
      <formula1>$N$2:$N$3</formula1>
    </dataValidation>
    <dataValidation type="list" allowBlank="1" showInputMessage="1" showErrorMessage="1" sqref="G2:H20" xr:uid="{4F3B2A47-C23A-4C80-87FE-9C03E8B410ED}">
      <formula1>$N$5:$N$6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8F6EC-4FFB-4765-A340-E5D844852EEC}">
  <dimension ref="A1:P8"/>
  <sheetViews>
    <sheetView topLeftCell="D1" workbookViewId="0">
      <selection activeCell="E1" sqref="E1:G1"/>
    </sheetView>
  </sheetViews>
  <sheetFormatPr defaultColWidth="14.8984375" defaultRowHeight="14.4"/>
  <cols>
    <col min="1" max="1" width="15.796875" style="2" bestFit="1" customWidth="1"/>
    <col min="2" max="7" width="14.8984375" style="1"/>
    <col min="8" max="8" width="14.8984375" style="6"/>
    <col min="9" max="10" width="14.8984375" style="1"/>
    <col min="11" max="11" width="23" style="1" customWidth="1"/>
    <col min="12" max="12" width="14.8984375" style="5"/>
    <col min="13" max="13" width="21.8984375" style="1" customWidth="1"/>
    <col min="14" max="16" width="14.8984375" style="1"/>
    <col min="17" max="17" width="9.8984375" style="1" customWidth="1"/>
    <col min="18" max="16384" width="14.8984375" style="1"/>
  </cols>
  <sheetData>
    <row r="1" spans="1:16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I1" s="1" t="s">
        <v>7</v>
      </c>
      <c r="K1" s="7" t="s">
        <v>20</v>
      </c>
      <c r="L1" s="7" t="s">
        <v>21</v>
      </c>
      <c r="M1" s="7" t="s">
        <v>14</v>
      </c>
    </row>
    <row r="2" spans="1:16">
      <c r="A2" s="2">
        <v>45710</v>
      </c>
      <c r="B2" s="1" t="s">
        <v>16</v>
      </c>
      <c r="C2" s="1">
        <v>200</v>
      </c>
      <c r="D2" s="1" t="s">
        <v>6</v>
      </c>
      <c r="E2" s="4">
        <f>J2</f>
        <v>3.2754629629629631E-3</v>
      </c>
      <c r="F2" s="4"/>
      <c r="G2" s="4"/>
      <c r="H2" s="1">
        <v>283.08999999999997</v>
      </c>
      <c r="I2" s="1" t="s">
        <v>8</v>
      </c>
      <c r="J2" s="4">
        <f>TIME(0, N2, O2)</f>
        <v>3.2754629629629631E-3</v>
      </c>
      <c r="K2" s="8">
        <f>_xlfn.MINIFS(H:H, C:C, 200, D:D, "短水路")</f>
        <v>194.47</v>
      </c>
      <c r="L2" s="9">
        <f>INDEX(A:A, MATCH(_xlfn.MINIFS(H:H, D:D, "短水路"), H:H, 0))</f>
        <v>46081</v>
      </c>
      <c r="M2" s="8">
        <f>_xlfn.MINIFS(H2:H2, C2:C2, 200, D2:D2, "短水路")</f>
        <v>283.08999999999997</v>
      </c>
      <c r="N2" s="8">
        <f>INT(M2/60)</f>
        <v>4</v>
      </c>
      <c r="O2" s="8">
        <f>MOD(M2,60)</f>
        <v>43.089999999999975</v>
      </c>
      <c r="P2" s="1" t="s">
        <v>5</v>
      </c>
    </row>
    <row r="3" spans="1:16">
      <c r="A3" s="2">
        <v>45808</v>
      </c>
      <c r="B3" s="1" t="s">
        <v>17</v>
      </c>
      <c r="C3" s="1">
        <v>200</v>
      </c>
      <c r="D3" s="1" t="s">
        <v>6</v>
      </c>
      <c r="E3" s="4">
        <f>J3</f>
        <v>2.8009259259259259E-3</v>
      </c>
      <c r="F3" s="4"/>
      <c r="G3" s="4"/>
      <c r="H3" s="1">
        <v>242.71</v>
      </c>
      <c r="I3" s="1" t="s">
        <v>8</v>
      </c>
      <c r="J3" s="4">
        <f>TIME(0, N3, O3)</f>
        <v>2.8009259259259259E-3</v>
      </c>
      <c r="K3" s="8">
        <f>INT(K2/60)</f>
        <v>3</v>
      </c>
      <c r="L3" s="9"/>
      <c r="M3" s="8">
        <f>_xlfn.MINIFS(H3:H3, C3:C3, 200, D3:D3, "短水路")</f>
        <v>242.71</v>
      </c>
      <c r="N3" s="8">
        <f t="shared" ref="N3:N6" si="0">INT(M3/60)</f>
        <v>4</v>
      </c>
      <c r="O3" s="8">
        <f t="shared" ref="O3:O6" si="1">MOD(M3,60)</f>
        <v>2.710000000000008</v>
      </c>
      <c r="P3" s="1" t="s">
        <v>6</v>
      </c>
    </row>
    <row r="4" spans="1:16">
      <c r="A4" s="2">
        <v>45899</v>
      </c>
      <c r="B4" s="1" t="s">
        <v>17</v>
      </c>
      <c r="C4" s="1">
        <v>200</v>
      </c>
      <c r="D4" s="1" t="s">
        <v>6</v>
      </c>
      <c r="E4" s="4">
        <f>J4</f>
        <v>2.5115740740740741E-3</v>
      </c>
      <c r="F4" s="4"/>
      <c r="G4" s="4"/>
      <c r="H4" s="1">
        <v>217.53</v>
      </c>
      <c r="I4" s="1" t="s">
        <v>8</v>
      </c>
      <c r="J4" s="4">
        <f>TIME(0, N4, O4)</f>
        <v>2.5115740740740741E-3</v>
      </c>
      <c r="K4" s="8">
        <f>MOD(K2,60)</f>
        <v>14.469999999999999</v>
      </c>
      <c r="L4" s="9"/>
      <c r="M4" s="8">
        <f>_xlfn.MINIFS(H4:H4, C4:C4, 200, D4:D4, "短水路")</f>
        <v>217.53</v>
      </c>
      <c r="N4" s="8">
        <f t="shared" si="0"/>
        <v>3</v>
      </c>
      <c r="O4" s="8">
        <f t="shared" si="1"/>
        <v>37.53</v>
      </c>
    </row>
    <row r="5" spans="1:16">
      <c r="A5" s="2">
        <v>45991</v>
      </c>
      <c r="B5" s="1" t="s">
        <v>17</v>
      </c>
      <c r="C5" s="1">
        <v>200</v>
      </c>
      <c r="D5" s="1" t="s">
        <v>6</v>
      </c>
      <c r="E5" s="4">
        <f>J5</f>
        <v>2.3263888888888887E-3</v>
      </c>
      <c r="F5" s="4"/>
      <c r="G5" s="4"/>
      <c r="H5" s="1">
        <v>201.34</v>
      </c>
      <c r="I5" s="1" t="s">
        <v>8</v>
      </c>
      <c r="J5" s="4">
        <f>TIME(0, N5, O5)</f>
        <v>2.3263888888888887E-3</v>
      </c>
      <c r="K5" s="4">
        <f>TIME(0, K3, K4)</f>
        <v>2.2453703703703702E-3</v>
      </c>
      <c r="M5" s="8">
        <f>_xlfn.MINIFS(H5:H5, C5:C5, 200, D5:D5, "短水路")</f>
        <v>201.34</v>
      </c>
      <c r="N5" s="8">
        <f t="shared" si="0"/>
        <v>3</v>
      </c>
      <c r="O5" s="8">
        <f t="shared" si="1"/>
        <v>21.340000000000003</v>
      </c>
      <c r="P5" s="1" t="s">
        <v>8</v>
      </c>
    </row>
    <row r="6" spans="1:16">
      <c r="A6" s="2">
        <v>46081</v>
      </c>
      <c r="B6" s="1" t="s">
        <v>17</v>
      </c>
      <c r="C6" s="1">
        <v>200</v>
      </c>
      <c r="D6" s="1" t="s">
        <v>6</v>
      </c>
      <c r="E6" s="4">
        <f>J6</f>
        <v>2.2453703703703702E-3</v>
      </c>
      <c r="F6" s="4"/>
      <c r="G6" s="4"/>
      <c r="H6" s="1">
        <v>194.47</v>
      </c>
      <c r="I6" s="1" t="s">
        <v>8</v>
      </c>
      <c r="J6" s="4">
        <f>TIME(0, N6, O6)</f>
        <v>2.2453703703703702E-3</v>
      </c>
      <c r="M6" s="8">
        <f>_xlfn.MINIFS(H6:H6, C6:C6, 200, D6:D6, "短水路")</f>
        <v>194.47</v>
      </c>
      <c r="N6" s="8">
        <f t="shared" si="0"/>
        <v>3</v>
      </c>
      <c r="O6" s="8">
        <f t="shared" si="1"/>
        <v>14.469999999999999</v>
      </c>
      <c r="P6" s="1" t="s">
        <v>9</v>
      </c>
    </row>
    <row r="8" spans="1:16">
      <c r="K8" s="4"/>
      <c r="M8" s="4"/>
    </row>
  </sheetData>
  <phoneticPr fontId="1"/>
  <dataValidations count="2">
    <dataValidation type="list" allowBlank="1" showInputMessage="1" showErrorMessage="1" sqref="I2:J20" xr:uid="{9B43BB41-A730-463A-95A6-B6EBE8188ECC}">
      <formula1>$P$5:$P$6</formula1>
    </dataValidation>
    <dataValidation type="list" allowBlank="1" showInputMessage="1" showErrorMessage="1" sqref="D2:G181" xr:uid="{2E851504-0A0F-4FD5-8D2A-98ECFA809F0B}">
      <formula1>$P$2:$P$3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バッタ</vt:lpstr>
      <vt:lpstr>バック</vt:lpstr>
      <vt:lpstr>ブレ</vt:lpstr>
      <vt:lpstr>フリー</vt:lpstr>
      <vt:lpstr>メドレー</vt:lpstr>
      <vt:lpstr>メドレー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2026-04-18T12:05:03Z</dcterms:modified>
</cp:coreProperties>
</file>